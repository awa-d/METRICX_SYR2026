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5285BDF-DA78-4DA7-8FB2-71056E8C3F6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vue documentaire" sheetId="1" r:id="rId1"/>
    <sheet name="Benchmark posters scientifiq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2" i="2" l="1"/>
  <c r="C42" i="2"/>
</calcChain>
</file>

<file path=xl/sharedStrings.xml><?xml version="1.0" encoding="utf-8"?>
<sst xmlns="http://schemas.openxmlformats.org/spreadsheetml/2006/main" count="462" uniqueCount="399">
  <si>
    <t>📚 REVUE DOCUMENTAIRE — Insécurité Alimentaire &amp; Vulnérabilité Socio-Économique au Sénégal | EHCVM 2021 | Équipe METRICX</t>
  </si>
  <si>
    <t>Couvre : théories fondatrices · études empiriques Afrique subsaharienne · méthodologies statistiques (ACP, clustering, logit) · littérature grise &amp; rapports institutionnels</t>
  </si>
  <si>
    <t>#</t>
  </si>
  <si>
    <t>Auteur(s)</t>
  </si>
  <si>
    <t>Année</t>
  </si>
  <si>
    <t>Titre complet</t>
  </si>
  <si>
    <t>Revue / Éditeur</t>
  </si>
  <si>
    <t>Pays / Région</t>
  </si>
  <si>
    <t>Type</t>
  </si>
  <si>
    <t>Dimension(s) couverte(s)</t>
  </si>
  <si>
    <t>Méthode(s) clé(s)</t>
  </si>
  <si>
    <t>Variable(s) EHCVM liée(s)</t>
  </si>
  <si>
    <t>Message principal</t>
  </si>
  <si>
    <t>Lien / DOI</t>
  </si>
  <si>
    <t>▶  A — CADRES THÉORIQUES FONDATEURS</t>
  </si>
  <si>
    <t>Sen, A.</t>
  </si>
  <si>
    <t>Poverty and Famines: An Essay on Entitlement and Deprivation</t>
  </si>
  <si>
    <t>Oxford: Clarendon Press</t>
  </si>
  <si>
    <t>Global</t>
  </si>
  <si>
    <t>Livre / Théorie</t>
  </si>
  <si>
    <t>Sécurité alimentaire ; Pauvreté</t>
  </si>
  <si>
    <t>Théorie des droits / entitlements</t>
  </si>
  <si>
    <t>dtot, pcexp, dali</t>
  </si>
  <si>
    <t>La faim résulte non pas d'un manque de nourriture mais d'un défaut d'accès aux ressources (entitlements). Fondement de l'approche multidimensionnelle.</t>
  </si>
  <si>
    <t>–</t>
  </si>
  <si>
    <t>Chambers, R. &amp; Conway, G.</t>
  </si>
  <si>
    <t>Sustainable Rural Livelihoods: Practical Concepts for the 21st Century</t>
  </si>
  <si>
    <t>IDS Discussion Paper 296, University of Sussex</t>
  </si>
  <si>
    <t>Working Paper / Théorie</t>
  </si>
  <si>
    <t>Vulnérabilité ; Agriculture ; Résilience</t>
  </si>
  <si>
    <t>Cadre des moyens d'existence durables (SLA)</t>
  </si>
  <si>
    <t>superf, grosrum, petitrum, volail, sh_co_natu</t>
  </si>
  <si>
    <t>Un moyen d'existence durable permet d'absorber les chocs, de maintenir ou améliorer les capacités et actifs sans éroder la base de ressources naturelles.</t>
  </si>
  <si>
    <t>https://opendocs.ids.ac.uk/opendocs/handle/20.500.12413/775</t>
  </si>
  <si>
    <t>Maxwell, S. &amp; Frankenberger, T.</t>
  </si>
  <si>
    <t>Household Food Security: Concepts, Indicators, Measurements</t>
  </si>
  <si>
    <t>UNICEF / IFAD, Rome</t>
  </si>
  <si>
    <t>Rapport institutionnel</t>
  </si>
  <si>
    <t>Sécurité alimentaire</t>
  </si>
  <si>
    <t>Indicateurs composites d'insécurité alimentaire</t>
  </si>
  <si>
    <t>dali, codpr, depan</t>
  </si>
  <si>
    <t>Conceptualisation des 4 piliers de la sécurité alimentaire : disponibilité, accès, utilisation, stabilité.</t>
  </si>
  <si>
    <t>Deaton, A.</t>
  </si>
  <si>
    <t>The Analysis of Household Surveys: A Microeconometric Approach to Development Policy</t>
  </si>
  <si>
    <t>World Bank / Johns Hopkins University Press</t>
  </si>
  <si>
    <t>Livre / Méthode</t>
  </si>
  <si>
    <t>Conditions économiques ; Sécurité alimentaire</t>
  </si>
  <si>
    <t>Agrégats de consommation ; Welfare analysis</t>
  </si>
  <si>
    <t>dtot, dali, dnal, pcexp, zref, hhweight</t>
  </si>
  <si>
    <t>Manuel de référence pour l'analyse des enquêtes ménages. Fonde la mesure de la pauvreté par la consommation per capita — base directe de pcexp/zref EHCVM.</t>
  </si>
  <si>
    <t>https://doi.org/10.1596/978-1-4648-1331-3</t>
  </si>
  <si>
    <t>FAO, IFAD, UNICEF, WFP, WHO</t>
  </si>
  <si>
    <t>The State of Food Security and Nutrition in the World 2022</t>
  </si>
  <si>
    <t>FAO, Rome</t>
  </si>
  <si>
    <t>FIES ; Indicateurs ODD 2.1.1 / 2.1.2</t>
  </si>
  <si>
    <t>dali, milieu, region</t>
  </si>
  <si>
    <t>Rapport annuel de référence. En 2022, ~828 millions de personnes souffrent de la faim; Afrique subsaharienne sur-représentée.</t>
  </si>
  <si>
    <t>https://doi.org/10.4060/cc0639en</t>
  </si>
  <si>
    <t>Cafiero, C. et al.</t>
  </si>
  <si>
    <t>Food Security Measurement in a Global Context: The Food Insecurity Experience Scale</t>
  </si>
  <si>
    <t>Measurement, Vol. 116, pp. 146-152</t>
  </si>
  <si>
    <t>Article scientifique</t>
  </si>
  <si>
    <t>Modèle de Rasch ; FIES</t>
  </si>
  <si>
    <t>dali, modep</t>
  </si>
  <si>
    <t>Le FIES, indicateur ODD 2.1.2, mesure l'insécurité alimentaire basée sur l'expérience vécue via 8 questions. Référence méthodologique pour tout indice proxy.</t>
  </si>
  <si>
    <t>https://doi.org/10.1016/j.measurement.2017.10.065</t>
  </si>
  <si>
    <t>▶  B — ÉTUDES EMPIRIQUES AFRIQUE SUBSAHARIENNE</t>
  </si>
  <si>
    <t>ANSD</t>
  </si>
  <si>
    <t>Enquête Harmonisée sur les Conditions de Vie des Ménages (EHCVM II) — Rapport Final Sénégal</t>
  </si>
  <si>
    <t>Agence Nationale de la Statistique et de la Démographie, Dakar</t>
  </si>
  <si>
    <t>Sénégal</t>
  </si>
  <si>
    <t>Toutes dimensions</t>
  </si>
  <si>
    <t>Statistiques descriptives pondérées ; profil de pauvreté</t>
  </si>
  <si>
    <t>pcexp, zref, milieu, region, hhsize, hdiploma</t>
  </si>
  <si>
    <t>Pauvreté monétaire ≈ 37.8% (2018) ; insécurité alimentaire modérée ou sévère = 29.9% (2022) ; rural et régions périphériques sur-représentés.</t>
  </si>
  <si>
    <t>https://www.ansd.sn/sites/default/files/2024-07/Rapport_Final_EHCVM_2021-2022_VF_0.pdf</t>
  </si>
  <si>
    <t>Diop, M. et al.</t>
  </si>
  <si>
    <t>Analyse empirique des déterminants de la consommation alimentaire et leurs corrélations avec l'insécurité alimentaire chez les ménages vulnérables sénégalais</t>
  </si>
  <si>
    <t>Revue ASJP / Écon. &amp; Gestion</t>
  </si>
  <si>
    <t>Sécurité alimentaire ; Conditions économiques</t>
  </si>
  <si>
    <t>Régression MCO ; analyse des déterminants</t>
  </si>
  <si>
    <t>dali, pcexp, hbranch, heduc, milieu</t>
  </si>
  <si>
    <t>Les facteurs socioéconomiques et sociodémographiques (revenu, éducation, milieu) déterminent la vulnérabilité alimentaire. Le rural reste le plus exposé.</t>
  </si>
  <si>
    <t>https://asjp.cerist.dz/en/article/137558</t>
  </si>
  <si>
    <t>Mazenda, A. &amp; al.</t>
  </si>
  <si>
    <t>Food insecurity and coping strategies of low-income households in Tshwane, South Africa</t>
  </si>
  <si>
    <t>Poverty &amp; Public Policy, Wiley</t>
  </si>
  <si>
    <t>Afrique du Sud</t>
  </si>
  <si>
    <t>Sécurité alimentaire ; Conditions de vie</t>
  </si>
  <si>
    <t>ACP ; statistiques descriptives ; logit ordonné</t>
  </si>
  <si>
    <t>sh_co_eco, sh_id_eco, sh_co_natu, dtot</t>
  </si>
  <si>
    <t>ACP permet de construire un indice composite d'actifs ; l'approche « vulnerability as expected poverty » est reproductible sur données EHCVM.</t>
  </si>
  <si>
    <t>https://doi.org/10.1002/pop4.417</t>
  </si>
  <si>
    <t>Machemedze, T. &amp; al.</t>
  </si>
  <si>
    <t>Household Vulnerability to Food Insecurity in Rural South Africa: Evidence from a Nationally Representative Survey</t>
  </si>
  <si>
    <t>PMC / Nutrients</t>
  </si>
  <si>
    <t>ACP (indice actifs + services) ; VEP (Vulnerability as Expected Poverty)</t>
  </si>
  <si>
    <t>frigo, tv, elec_ur, toilet, eauboi_ss, mur, sol</t>
  </si>
  <si>
    <t>ACP sur actifs ménages et services publics pour construire variables explicatives du logit de vulnérabilité. Méthodologie directement applicable à l'EHCVM.</t>
  </si>
  <si>
    <t>https://pmc.ncbi.nlm.nih.gov/articles/PMC7931018/</t>
  </si>
  <si>
    <t>Adjimoti, G.O. &amp; Kwadzo, G.T.M.</t>
  </si>
  <si>
    <t>Advancing a new index for measuring household vulnerability to food insecurity</t>
  </si>
  <si>
    <t>ResearchGate / Food Security</t>
  </si>
  <si>
    <t>Bénin</t>
  </si>
  <si>
    <t>Sécurité alimentaire ; Vulnérabilité</t>
  </si>
  <si>
    <t>ACP pour indice composite ; logit ordonné</t>
  </si>
  <si>
    <t>dali, pcexp, sh_co_eco, sh_id_eco</t>
  </si>
  <si>
    <t>Un indice de vulnérabilité multidimensionnel combinant ACP et logit est plus robuste que les mesures unidimensionnelles. 41.3% des ménages urbains hautement vulnérables.</t>
  </si>
  <si>
    <t>Tesfaye, W. &amp; al.</t>
  </si>
  <si>
    <t>Vulnerability to Multidimensional Food Insecurity (VMFI) in Ethiopia (Arsi Zone)</t>
  </si>
  <si>
    <t>Discover Sustainability, Springer</t>
  </si>
  <si>
    <t>Éthiopie</t>
  </si>
  <si>
    <t>Sécurité alimentaire ; Agriculture</t>
  </si>
  <si>
    <t>ACP ; FGLS 3 étapes ; indice MFS géométrique</t>
  </si>
  <si>
    <t>superf, grosrum, volail, sh_co_natu, dali</t>
  </si>
  <si>
    <t>L'indice multidimensionnel de sécurité alimentaire (MFS) par ACP et agrégation géométrique : 57.11% des ménages vulnérables vs 45% en insécurité directe. L'écart illustre l'utilité de l'approche multidimensionnelle.</t>
  </si>
  <si>
    <t>https://doi.org/10.1007/s43621-024-00765-7</t>
  </si>
  <si>
    <t>Tetteh-Baah, S. &amp; al.</t>
  </si>
  <si>
    <t>Gendered Spatial Vulnerability to Food Insecurity in Nigeria</t>
  </si>
  <si>
    <t>African Journal of Governance &amp; Development</t>
  </si>
  <si>
    <t>Nigeria</t>
  </si>
  <si>
    <t>Vulnérabilité ; Sécurité alimentaire</t>
  </si>
  <si>
    <t>Indice de vulnérabilité spatiale ; Moran's I ; clustering spatial</t>
  </si>
  <si>
    <t>region, milieu, hgender, pcexp</t>
  </si>
  <si>
    <t>La vulnérabilité alimentaire est spatialement clusterisée et genrée. Les femmes chefs de ménage sont plus exposées. Pertinent pour la dimension régionale de l'EHCVM.</t>
  </si>
  <si>
    <t>https://ajgd.journalofgovernance.com/index.php/ajgd/article/view/444</t>
  </si>
  <si>
    <t>Wubetie, H.T. et al.</t>
  </si>
  <si>
    <t>The spatial effects of the household's food insecurity levels in Ethiopia: by ordinal geo-additive model</t>
  </si>
  <si>
    <t>Frontiers in Nutrition, Vol. 11</t>
  </si>
  <si>
    <t>Sécurité alimentaire ; Démographie</t>
  </si>
  <si>
    <t>Modèle geo-additif ; logit ordonné</t>
  </si>
  <si>
    <t>region, milieu, hhsize, hage, hgender</t>
  </si>
  <si>
    <t>Les effets spatiaux non-linéaires sont significatifs. La taille et la structure du ménage sont des déterminants robustes de l'insécurité alimentaire.</t>
  </si>
  <si>
    <t>https://doi.org/10.3389/fnut.2024.1360826</t>
  </si>
  <si>
    <t>▶  C — MÉTHODES STATISTIQUES (ACP, CLUSTERING, LOGIT)</t>
  </si>
  <si>
    <t>Jolliffe, I.T.</t>
  </si>
  <si>
    <t>Principal Component Analysis (2nd Ed.)</t>
  </si>
  <si>
    <t>Springer Series in Statistics</t>
  </si>
  <si>
    <t>Capital humain ; Conditions de vie</t>
  </si>
  <si>
    <t>ACP / PCA</t>
  </si>
  <si>
    <t>frigo, tv, ordin, elec_ur, mur, sol, toit, toilet</t>
  </si>
  <si>
    <t>Référence canonique de l'ACP. Utilisé pour construire des indices composites d'actifs et de bien-être à partir de variables binaires / continues.</t>
  </si>
  <si>
    <t>https://link.springer.com/book/10.1007/b98835</t>
  </si>
  <si>
    <t>Greene, W.H.</t>
  </si>
  <si>
    <t>Econometric Analysis (8th Ed.) — Chapitre Modèles Logit/Probit</t>
  </si>
  <si>
    <t>Pearson Education</t>
  </si>
  <si>
    <t>Logit binaire ; effets marginaux</t>
  </si>
  <si>
    <t>pcexp, zref, milieu, hdiploma, hgender, hhsize</t>
  </si>
  <si>
    <t>Cadre théorique et pratique pour le modèle logit de pauvreté ou insécurité alimentaire comme variable binaire. Effets marginaux pour l'interprétation.</t>
  </si>
  <si>
    <t>Vyas, S. &amp; Kumaranayake, L.</t>
  </si>
  <si>
    <t>Constructing socioeconomic status indices: how to use principal components analysis</t>
  </si>
  <si>
    <t>Health Policy and Planning, Vol. 21 (6), pp. 459-468</t>
  </si>
  <si>
    <t>ACP sur actifs ménages</t>
  </si>
  <si>
    <t>frigo, tv, car, ordin, telpor, elec_ur, eauboi_ss</t>
  </si>
  <si>
    <t>Protocole ACP pour construire un indice SES à partir d'actifs ménages (données binaires). Standard dans les enquêtes DHS/LSMS — directement reproductible sur l'EHCVM.</t>
  </si>
  <si>
    <t>https://doi.org/10.1093/heapol/czl029</t>
  </si>
  <si>
    <t>Alkire, S. &amp; Foster, J.</t>
  </si>
  <si>
    <t>Counting and Multidimensional Poverty Measurement</t>
  </si>
  <si>
    <t>Journal of Public Economics, 95 (7-8), pp. 476-487</t>
  </si>
  <si>
    <t>Capital humain ; Conditions économiques ; Conditions de vie</t>
  </si>
  <si>
    <t>Méthode AF ; indice MPI</t>
  </si>
  <si>
    <t>heduc, toilet, eauboi_ss, elec_ur, dali, hhsize</t>
  </si>
  <si>
    <t>Fondement de l'Indice de Pauvreté Multidimensionnelle (MPI-OPHI). Double-seuil (déprivation individuelle + ménage). Applicable comme variable outcome pour le logit.</t>
  </si>
  <si>
    <t>https://doi.org/10.1016/j.jpubeco.2011.06.007</t>
  </si>
  <si>
    <t>▶  D — CHOCS, RÉSILIENCE &amp; SYSTÈMES ALIMENTAIRES</t>
  </si>
  <si>
    <t>Holling, C.S.</t>
  </si>
  <si>
    <t>Resilience and Stability of Ecological Systems</t>
  </si>
  <si>
    <t>Annual Review of Ecology and Systematics, 4, pp. 1-23</t>
  </si>
  <si>
    <t>Résilience ; Chocs</t>
  </si>
  <si>
    <t>Cadre conceptuel résilience</t>
  </si>
  <si>
    <t>sh_co_eco, sh_co_natu, sh_id_eco, sh_id_demo</t>
  </si>
  <si>
    <t>Définition fondatrice de la résilience comme capacité d'un système à absorber les perturbations. Base théorique pour l'analyse des chocs EHCVM.</t>
  </si>
  <si>
    <t>https://doi.org/10.1146/annurev.es.04.110173.000245</t>
  </si>
  <si>
    <t>WFP Sénégal</t>
  </si>
  <si>
    <t>Plan Stratégique de Pays – Sénégal (2025-2029)</t>
  </si>
  <si>
    <t>Programme Alimentaire Mondial</t>
  </si>
  <si>
    <t>Sécurité alimentaire ; Agriculture ; Chocs</t>
  </si>
  <si>
    <t>Cadre harmonisé (CH) ; analyse situationnelle</t>
  </si>
  <si>
    <t>region, milieu, sh_co_natu, sh_co_eco</t>
  </si>
  <si>
    <t>Insécurité alimentaire en hausse lors de la période de soudure. Régions de Tambacounda, Kédougou, Sédhiou et Kolda en situation de crise. Contexte de politique alimentaire national.</t>
  </si>
  <si>
    <t>https://executiveboard.wfp.org/document_download/WFP-0000161641</t>
  </si>
  <si>
    <t>FAO Cadre Harmonisé</t>
  </si>
  <si>
    <t>Résultats de l'analyse de la situation actuelle et projetée de l'insécurité alimentaire aiguë au Sénégal</t>
  </si>
  <si>
    <t>FAO / CILSS, mars 2024</t>
  </si>
  <si>
    <t>Sécurité alimentaire ; Chocs</t>
  </si>
  <si>
    <t>Classification IPC ; Cadre harmonisé</t>
  </si>
  <si>
    <t>region, sh_co_natu, sh_co_eco</t>
  </si>
  <si>
    <t>En période de soudure (juin-août 2024), l'insécurité alimentaire pourrait doubler. Départements de Salémata et Goudiry en phase Crise (CH phase 3).</t>
  </si>
  <si>
    <t>https://www.fao.org/giews/</t>
  </si>
  <si>
    <t>ANSD / Banque Mondiale</t>
  </si>
  <si>
    <t>Enquête Harmonisée sur les Conditions de Vie des Ménages (EHCVM 2018-2019) — Premiers résultats</t>
  </si>
  <si>
    <t>ANSD, Dakar</t>
  </si>
  <si>
    <t>Profil de pauvreté ; statistiques descriptives pondérées</t>
  </si>
  <si>
    <t>pcexp, zref, milieu, region, hhsize</t>
  </si>
  <si>
    <t>Taux de pauvreté monétaire = 37.8% (2018) ; rural = 53.6% ; urbain = 19.8%. Point de comparaison pour l'EHCVM 2021.</t>
  </si>
  <si>
    <t>https://www.ansd.sn/enquete-et-etude/enquete-harmonisee-sur-les-conditions-de-vie-des-menages-ehcvm-2018-2019</t>
  </si>
  <si>
    <t>Devereux, S.</t>
  </si>
  <si>
    <t>Livelihood Insecurity and Social Protection: A Re-emerging Issue in Rural Development</t>
  </si>
  <si>
    <t>Development Policy Review, 19(4), pp. 507-519</t>
  </si>
  <si>
    <t>Vulnérabilité ; Chocs ; Conditions économiques</t>
  </si>
  <si>
    <t>Analyse qualitative ; moyens d'existence</t>
  </si>
  <si>
    <t>sh_co_eco, sh_id_eco, sh_co_natu, sh_id_demo</t>
  </si>
  <si>
    <t>La protection sociale (transferts, filets sociaux) est un levier de réduction de la vulnérabilité. Variable sh_co_eco/sh_id_eco comme proxy de choc idiosyncratique vs covariant.</t>
  </si>
  <si>
    <t>https://doi.org/10.1111/1467-7679.00121</t>
  </si>
  <si>
    <t>Ellis, F.</t>
  </si>
  <si>
    <t>Rural Livelihoods and Diversity in Developing Countries</t>
  </si>
  <si>
    <t>Oxford University Press</t>
  </si>
  <si>
    <t>Agriculture ; Conditions économiques</t>
  </si>
  <si>
    <t>Diversification des moyens d'existence</t>
  </si>
  <si>
    <t>hbranch, salaire, activ7j, activ12m, branch</t>
  </si>
  <si>
    <t>La diversification des sources de revenu réduit la vulnérabilité alimentaire. Applicable via les variables de branche d'activité et de revenus salariaux EHCVM.</t>
  </si>
  <si>
    <t>🏆 BENCHMARK POSTERS SCIENTIFIQUES — Analyse des Concours, Gagnants &amp; Meilleures Pratiques | Équipe METRICX / SYR 2026</t>
  </si>
  <si>
    <t>Sources : Chemistry World (RSC) · ResearchGate expert opinions · BYU Life Sciences Criteria · APA Guidelines · Better Poster Project (Morrison, 2019) · UQTR/UQAC/Sherbrooke poster competitions · Animate Your Science · ConceptViz · IPSF AfRO</t>
  </si>
  <si>
    <t>PARTIE A — PANORAMA DES CONCOURS DE POSTERS SCIENTIFIQUES</t>
  </si>
  <si>
    <t>Concours / Événement</t>
  </si>
  <si>
    <t>Organisateur</t>
  </si>
  <si>
    <t>Domaine</t>
  </si>
  <si>
    <t>Niveau</t>
  </si>
  <si>
    <t>Critères d'évaluation (pondération)</t>
  </si>
  <si>
    <t>RSC Twitter Poster Conference / Chemistry World Awards</t>
  </si>
  <si>
    <t>Royal Society of Chemistry (RSC)</t>
  </si>
  <si>
    <t>Sciences exactes</t>
  </si>
  <si>
    <t>International</t>
  </si>
  <si>
    <t>Design visuel (35%) · Clarté du message (30%) · Rigueur scientifique (25%) · Originalité (10%)</t>
  </si>
  <si>
    <t>Billboard / Better Poster ; figure centrale unique ; palette ≤ 4 couleurs</t>
  </si>
  <si>
    <t>Message principal en 1 phrase claire en haut ou centre. Une seule figure-phare. Moins de 250 mots de texte. Enthousiasme du présentateur.</t>
  </si>
  <si>
    <t>Trop de texte (&gt;500 mots). Figures de mauvaise résolution. Pas de hiérarchie visuelle. Absence du présentateur.</t>
  </si>
  <si>
    <t>https://www.chemistryworld.com/careers/how-to-win-a-poster-competition/3008058.article</t>
  </si>
  <si>
    <t>★★★★☆ (design &amp; message)</t>
  </si>
  <si>
    <t>BYU College of Life Sciences Undergraduate Poster Competition</t>
  </si>
  <si>
    <t>Brigham Young University (BYU)</t>
  </si>
  <si>
    <t>Sciences de la vie</t>
  </si>
  <si>
    <t>Universitaire (USA)</t>
  </si>
  <si>
    <t>Organisation (25%) · Apparence / lisibilité (25%) · Mérite scientifique (30%) · Présentation orale (20%)</t>
  </si>
  <si>
    <t>Classique sectionné (intro/méthodes/résultats/discussion) ; lecture fluide gauche-droite-bas</t>
  </si>
  <si>
    <t>Sections clairement délimitées. Chaque sous-section ≤ 1 paragraphe court. Graphiques prioritaires sur le texte. Police ≥ 24 pt corps.</t>
  </si>
  <si>
    <t>Sections sans labels. Paragraphes trop longs. Graphiques sans légende. Police illisible à 1,5 m.</t>
  </si>
  <si>
    <t>https://guides.lib.byu.edu/2022LS_PosterComp/Judging_Criteria</t>
  </si>
  <si>
    <t>★★★★★ (critères formalisés)</t>
  </si>
  <si>
    <t>APA Annual Convention Poster Awards</t>
  </si>
  <si>
    <t>American Psychological Association</t>
  </si>
  <si>
    <t>Sciences humaines &amp; sociales</t>
  </si>
  <si>
    <t>Mérite scientifique (40%) · Communication (35%) · Design (25%)</t>
  </si>
  <si>
    <t>Better Poster (billboard) adopté officiellement en 2019 ; message central en langage clair</t>
  </si>
  <si>
    <t>Adopter le format Billboard avec message central en langage non-spécialiste. QR code vers article complet. Sidebars pour détails méthodologiques.</t>
  </si>
  <si>
    <t>Jargon inaccessible. Pas de take-home message visible. Trop de colonnes de texte denses.</t>
  </si>
  <si>
    <t>https://blog.nrca.uconn.edu/2019/12/12/better-poster/</t>
  </si>
  <si>
    <t>★★★★☆ (SHS, format innovant)</t>
  </si>
  <si>
    <t>Concours d'Affiches Scientifiques UQTR</t>
  </si>
  <si>
    <t>Université du Québec à Trois-Rivières</t>
  </si>
  <si>
    <t>Pluridisciplinaire</t>
  </si>
  <si>
    <t>Universitaire (Canada/francophone)</t>
  </si>
  <si>
    <t>Qualité scientifique (35%) · Communication (35%) · Esthétique (20%) · Présentation orale (10%)</t>
  </si>
  <si>
    <t>Format A0 portrait ou paysage ; structure académique classique recommandée</t>
  </si>
  <si>
    <t>Vulgarisation sans perte de rigueur. Illustrations pertinentes. Conclusion actionnable. Présentation orale confiante.</t>
  </si>
  <si>
    <t>Résumé trop long en intro. Figures non commentées. Conclusion absente ou vague.</t>
  </si>
  <si>
    <t>https://oraprdnt.uqtr.uquebec.ca/portail/gscw031?owa_no_site=4192</t>
  </si>
  <si>
    <t>★★★★★ (contexte francophone identique)</t>
  </si>
  <si>
    <t>Concours d'Affiches UQAC (Rendez-vous Recherche 2026)</t>
  </si>
  <si>
    <t>Université du Québec à Chicoutimi</t>
  </si>
  <si>
    <t>Affiche écrite (50%) · Présentation orale (50%)</t>
  </si>
  <si>
    <t>Format numérique + présentiel ; grille d'évaluation transparente</t>
  </si>
  <si>
    <t>Clarté du problème de recherche. Méthodologie rigoureuse. Résultats visuellement convaincants. Prix du public = impact grand public.</t>
  </si>
  <si>
    <t>Absence de mise en contexte. Résultats présentés sans interprétation. Design trop chargé.</t>
  </si>
  <si>
    <t>https://www.uqac.ca/jrc/concours/</t>
  </si>
  <si>
    <t>★★★★★ (format et langue identiques)</t>
  </si>
  <si>
    <t>Concours Interdisciplinaire AUF (Intelligence Artificielle Appliquée)</t>
  </si>
  <si>
    <t>Agence Universitaire de la Francophonie (AUF)</t>
  </si>
  <si>
    <t>Pluridisciplinaire / SHS-STEM</t>
  </si>
  <si>
    <t>International francophone</t>
  </si>
  <si>
    <t>Pertinence thématique (25%) · Rigueur (30%) · Accessibilité (25%) · Visuel (20%)</t>
  </si>
  <si>
    <t>Format libre A0 ; jury pluridisciplinaire</t>
  </si>
  <si>
    <t>Ancrage dans un contexte réel (pays en développement valorisé). Données primaires. Politique publique recommandée. Multilingue apprécié.</t>
  </si>
  <si>
    <t>Résultats sans implications pratiques. Plagiat visuel. Références insuffisantes.</t>
  </si>
  <si>
    <t>https://www.auf.org/europe-centrale-orientale/nouvelles/appels-a-candidatures/concours-interdisciplinaire-daffiches-scientifiques/</t>
  </si>
  <si>
    <t>★★★★★ (AUF = organisation sœur, Afrique)</t>
  </si>
  <si>
    <t>IPSF AfRO Scientific Poster Competition</t>
  </si>
  <si>
    <t>International Pharmaceutical Students Federation — African Regional Office</t>
  </si>
  <si>
    <t>Santé / Sciences sociales</t>
  </si>
  <si>
    <t>Régional Afrique</t>
  </si>
  <si>
    <t>Contenu scientifique (40%) · Design (25%) · Impact santé publique (25%) · Originalité (10%)</t>
  </si>
  <si>
    <t>Format A0 classique ; sections IMRAD simplifiées</t>
  </si>
  <si>
    <t>Problème de santé publique local. Données africaines. Recommandations réalistes et contextualisées.</t>
  </si>
  <si>
    <t>Données non-africaines sans justification. Conclusions génériques. Police &lt; 18 pt.</t>
  </si>
  <si>
    <t>https://issuu.com/ipsf_afro/docs/concours_d_affiches_scientifiques</t>
  </si>
  <si>
    <t>★★★★☆ (Afrique, santé publique, contexte proche)</t>
  </si>
  <si>
    <t>Festival International de Géographie (FIG) — Saint-Dié</t>
  </si>
  <si>
    <t>Ministère de l'Éducation Nationale France / FIG</t>
  </si>
  <si>
    <t>Géographie / Sciences sociales</t>
  </si>
  <si>
    <t>Pertinence géographique (30%) · Originalité (30%) · Design cartographique (20%) · Clarté (20%)</t>
  </si>
  <si>
    <t>Accent sur cartes et visualisation spatiale ; narration géographique</t>
  </si>
  <si>
    <t>Cartographie thématique de qualité. Données localisées. Récit géographique fort. Images de terrain.</t>
  </si>
  <si>
    <t>Posters sans dimension spatiale. Texte sans images.</t>
  </si>
  <si>
    <t>https://geoconfluences.ens-lyon.fr/actualites/veille/evenements/fig-17-posters-scolaires</t>
  </si>
  <si>
    <t>★★★☆☆ (cartes régionales EHCVM très pertinentes)</t>
  </si>
  <si>
    <t>PARTIE B — PRINCIPES DE DESIGN DES POSTERS GAGNANTS (Méta-analyse des critères)</t>
  </si>
  <si>
    <t>Principe</t>
  </si>
  <si>
    <t>Pourquoi ça gagne</t>
  </si>
  <si>
    <t>Mise en pratique concrète</t>
  </si>
  <si>
    <t>Erreur à éviter</t>
  </si>
  <si>
    <t>Applicable SYR 2026 ?</t>
  </si>
  <si>
    <t>Source(s)</t>
  </si>
  <si>
    <t>Règle 3-30-300 secondes</t>
  </si>
  <si>
    <t>Correspond aux 3 niveaux d'attention d'un jury : coup d'œil (3s), lecture rapide (30s), étude approfondie (300s). Un poster gagnant réussit les 3 niveaux.</t>
  </si>
  <si>
    <t>• Titre accrocheur visible à 5 m (≥ 60 pt)
• Message-clé en 1 phrase au-dessus du fold
• Résultats détaillés dans les figures
• Méthodes compressées en sidebar ou QR code</t>
  </si>
  <si>
    <t>Poster lisible uniquement de près. Titre générique. Pas de message-clé apparent.</t>
  </si>
  <si>
    <t>✅ OUI — Appliquer dès la conception</t>
  </si>
  <si>
    <t>ConceptViz (2026) ; Chemistry World RSC (2024)</t>
  </si>
  <si>
    <t>Un seul message central (Take-Home Message)</t>
  </si>
  <si>
    <t>Les jurys retiennent un seul fait par poster. Les posters gagnants articulent tout autour d'une seule trouvaille forte.</t>
  </si>
  <si>
    <t>• Formuler en 1 phrase active : « Les ménages ruraux sans titre foncier ont 2,3x plus de risque d'insécurité alimentaire »
• Placer cette phrase en grand au centre (format Billboard)
• Tout le reste soutient ce message</t>
  </si>
  <si>
    <t>2 ou 3 messages concurrents. Titre interrogatif vague.</t>
  </si>
  <si>
    <t>✅ OUI — Identifier le résultat phare du clustering ou logit</t>
  </si>
  <si>
    <t>Morrison, M. (Better Poster, 2019) ; APA Guidelines 2019</t>
  </si>
  <si>
    <t>Espace blanc fonctionnel (White Space ≥ 30%)</t>
  </si>
  <si>
    <t>L'espace blanc réduit la charge cognitive et guide l'œil. Les jurys récompensent les posters « respirants » vs les murs de texte.</t>
  </si>
  <si>
    <t>• Marges ≥ 2 cm
• Espacement entre sections ≥ 1 cm
• Maximum 3 colonnes pour un A0 paysage
• Pas plus de 500 mots de texte total</t>
  </si>
  <si>
    <t>Remplir tous les espaces. Texte justifié sans marges. Tableaux de données brutes.</t>
  </si>
  <si>
    <t>✅ OUI — Priorité absolue dans la mise en page</t>
  </si>
  <si>
    <t>Animate Your Science (2022) ; BYU Criteria (2022)</t>
  </si>
  <si>
    <t>Hiérarchie visuelle claire</t>
  </si>
  <si>
    <t>L'œil doit savoir où aller sans effort. La hiérarchie (titre &gt; message-clé &gt; figures &gt; texte) est systématique dans les posters primés.</t>
  </si>
  <si>
    <t>• Taille titres : 72 pt → 36 pt → 24 pt → 14 pt
• 1 figure = 1 message
• Légendes sous les figures (&lt; 20 mots)
• Numérotation des sections</t>
  </si>
  <si>
    <t>Toutes les polices à la même taille. Figures sans titre. Texte et figures en compétition.</t>
  </si>
  <si>
    <t>✅ OUI</t>
  </si>
  <si>
    <t>BYU Criteria (2022) ; ConceptViz (2026)</t>
  </si>
  <si>
    <t>Palette de couleurs cohérente (≤ 4 couleurs)</t>
  </si>
  <si>
    <t>Une palette disciplinée signale le professionnalisme. Les jurys notent l'esthétique. Couleurs aléatoires = impression de bâclé.</t>
  </si>
  <si>
    <t>• 1 couleur principale (identité équipe METRICX)
• 1 couleur d'accent pour les éléments-clés
• Fond blanc ou crème
• Éviter rouge+vert (daltonisme) ; utiliser ColorBrewer</t>
  </si>
  <si>
    <t>Arc-en-ciel de couleurs. Fond sombre (impression coûteuse). Photos de mauvaise qualité (&lt; 150 dpi).</t>
  </si>
  <si>
    <t>✅ OUI — Choisir palette dès maintenant</t>
  </si>
  <si>
    <t>RSC Chemistry World (2024) ; Animate Your Science (2022)</t>
  </si>
  <si>
    <t>Figures de haute qualité (300 dpi minimum)</t>
  </si>
  <si>
    <t>Les cartes et graphiques sont le cœur d'un poster de sciences sociales quantitatives. La qualité signale la maîtrise technique.</t>
  </si>
  <si>
    <t>• Exporter depuis R/Python en SVG ou PNG 300 dpi
• Carte choroplèthe par région EHCVM = figure-phare
• Graphiques en violin/boxplot plutôt que barres simples
• Heatmap de la matrice de corrélation</t>
  </si>
  <si>
    <t>Screenshots de tableaux Excel. Graphiques sans axes étiquetés. Carte sans échelle ni légende.</t>
  </si>
  <si>
    <t>✅ OUI — Priorité aux cartes régionales</t>
  </si>
  <si>
    <t>QR Code vers données / article complet</t>
  </si>
  <si>
    <t>Permet de respecter la rigueur sans surcharger le poster. Très apprécié des jurys techniques. Signal d'ouverture des données.</t>
  </si>
  <si>
    <t>• QR code vers GitHub/OSF avec code R et données anonymisées
• Ou vers résumé étendu en PDF
• Placer en bas à droite ou centre-bas</t>
  </si>
  <si>
    <t>QR code cassé le jour de la présentation. QR code trop petit (&lt; 2 cm).</t>
  </si>
  <si>
    <t>✅ OUI — Créer le lien GitHub avant le dépôt</t>
  </si>
  <si>
    <t>Morrison, M. (Better Poster, 2019) ; APA 2019</t>
  </si>
  <si>
    <t>Présentation orale comme partie intégrante</t>
  </si>
  <si>
    <t>Dans tous les concours analysés, la présentation orale compte pour 20-50% de la note finale. Le poster est un support de conversation, pas un article imprimé.</t>
  </si>
  <si>
    <t>• Préparer un pitch de 2 minutes
• Anticiper 5 questions des jurys (méthode, données, causalité)
• Désigner un présentateur principal + 1 backup
• Rester debout près du poster pendant tout le temps</t>
  </si>
  <si>
    <t>Lire le poster mot à mot. Poster sans présentateur. Réponses défensives aux questions.</t>
  </si>
  <si>
    <t>✅ OUI — Intégrer dans la préparation de l'équipe</t>
  </si>
  <si>
    <t>Chemistry World RSC (2024) ; ResearchGate expert forum (2020)</t>
  </si>
  <si>
    <t>Format Billboard vs Format Classique — arbitrage</t>
  </si>
  <si>
    <t>Le format Billboard (Morrison) maximise la visibilité à distance et le score design. Le format classique (IMRAD) maximise la rigueur perçue. Les jurys académiques traditionnels préfèrent parfois le classique.</t>
  </si>
  <si>
    <t>• SYR 2026 = concours recherche → privilégier HYBRIDE
• Colonne gauche : contexte + méthode (compact)
• Centre : figure-phare + message-clé EN GRAND
• Colonne droite : résultats secondaires + implications politiques
• Bas : références + QR code + logos</t>
  </si>
  <si>
    <t>Choisir le format le plus radical sans lire les attentes du jury cible. Format billboard pur peut dérouter un jury académique traditionnel francophone.</t>
  </si>
  <si>
    <t>✅ OUI — Format hybride recommandé pour SYR 2026</t>
  </si>
  <si>
    <t>Better Posters Blog (2019) ; Powerful Posters Guide (2020) ; BEACON Center (2019)</t>
  </si>
  <si>
    <t>Ancrage contextuel fort (données locales, enjeux réels)</t>
  </si>
  <si>
    <t>Les concours africains et internationaux francophones récompensent l'enracinement dans un contexte réel et la pertinence politique locale. Un poster générique perd face à un poster contextualisé.</t>
  </si>
  <si>
    <t>• Ouvrir avec un fait choc sur le Sénégal (taux insécurité alimentaire régionale)
• Carte du Sénégal en figure-phare
• Recommandations de politique publique concrètes en conclusion
• Mentionner EHCVM comme source officielle ANSD/Banque Mondiale</t>
  </si>
  <si>
    <t>Résultats non interprétés dans le contexte sénégalais. Pas de recommandation. Conclusions trop académiques.</t>
  </si>
  <si>
    <t>✅ OUI — Atout différenciateur clé pour METRICX</t>
  </si>
  <si>
    <t>WFP Plan stratégique 2025-2029 ; AUF Concours affiches (2024) ; IPSF AfRO</t>
  </si>
  <si>
    <t>PARTIE C — GRILLE DE SCORING SYNTHÉTIQUE POUR LE POSTER SYR 2026 (auto-évaluation avant dépôt)</t>
  </si>
  <si>
    <t>Critère</t>
  </si>
  <si>
    <t>Sous-critère</t>
  </si>
  <si>
    <t>Poids (%)</t>
  </si>
  <si>
    <t>Note /5</t>
  </si>
  <si>
    <t>Commentaire / Action requise</t>
  </si>
  <si>
    <t>RIGUEUR SCIENTIFIQUE (40%)</t>
  </si>
  <si>
    <t>Qualité de la revue de littérature</t>
  </si>
  <si>
    <t>Vérifier couverture théorique + empirique</t>
  </si>
  <si>
    <t>Pertinence et traçabilité des données (EHCVM 2021)</t>
  </si>
  <si>
    <t>Citer clairement ANSD/Banque Mondiale</t>
  </si>
  <si>
    <t>Robustesse des méthodes (ACP, clustering, logit)</t>
  </si>
  <si>
    <t>Justifier les choix méthodologiques</t>
  </si>
  <si>
    <t>Validité des conclusions</t>
  </si>
  <si>
    <t>Éviter la sur-généralisation</t>
  </si>
  <si>
    <t>COMMUNICATION (35%)</t>
  </si>
  <si>
    <t>Clarté du message principal (Take-Home Message)</t>
  </si>
  <si>
    <t>1 phrase visible à 3 m</t>
  </si>
  <si>
    <t>Lisibilité (polices, espacement, hiérarchie)</t>
  </si>
  <si>
    <t>Police ≥ 18 pt corps, titres ≥ 36 pt</t>
  </si>
  <si>
    <t>Qualité des figures et cartes</t>
  </si>
  <si>
    <t>300 dpi, axes étiquetés, légendes claires</t>
  </si>
  <si>
    <t>Équilibre texte/visuel (white space ≥ 30%)</t>
  </si>
  <si>
    <t>Max 500 mots</t>
  </si>
  <si>
    <t>DESIGN &amp; ORIGINALITÉ (15%)</t>
  </si>
  <si>
    <t>Cohérence de la palette de couleurs</t>
  </si>
  <si>
    <t>Choisir 3-4 couleurs max, ColorBrewer</t>
  </si>
  <si>
    <t>Originalité de l'approche multidimensionnelle</t>
  </si>
  <si>
    <t>Mettre en avant l'approche combinée ACP+Logit</t>
  </si>
  <si>
    <t>Ancrage contexte Sénégal / Afrique de l'Ouest</t>
  </si>
  <si>
    <t>Carte + chiffres-clés nationaux</t>
  </si>
  <si>
    <t>PRÉSENTATION ORALE (10%)</t>
  </si>
  <si>
    <t>Maîtrise du sujet et pitch 2 min</t>
  </si>
  <si>
    <t>Répéter avec chrono</t>
  </si>
  <si>
    <t>Réponses aux questions du jury</t>
  </si>
  <si>
    <t>Préparer 5 questions-pièges</t>
  </si>
  <si>
    <t>TOTAL</t>
  </si>
  <si>
    <t>Score cible : ≥ 4.0 /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</si>
</sst>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1A1A2E"/>
      <name val="Arial"/>
      <charset val="1"/>
    </font>
    <font>
      <b/>
      <sz val="10"/>
      <color rgb="FFFFFFFF"/>
      <name val="Arial"/>
      <charset val="1"/>
    </font>
    <font>
      <sz val="10"/>
      <color rgb="FF1A1A2E"/>
      <name val="Arial"/>
      <charset val="1"/>
    </font>
    <font>
      <b/>
      <sz val="11"/>
      <color rgb="FFFFFFFF"/>
      <name val="Arial"/>
      <charset val="1"/>
    </font>
    <font>
      <b/>
      <sz val="10"/>
      <color rgb="FF1A1A2E"/>
      <name val="Arial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6E4F0"/>
        <bgColor rgb="FFCCFFFF"/>
      </patternFill>
    </fill>
    <fill>
      <patternFill patternType="solid">
        <fgColor rgb="FF2E6DA4"/>
        <bgColor rgb="FF3366FF"/>
      </patternFill>
    </fill>
    <fill>
      <patternFill patternType="solid">
        <fgColor rgb="FFE07B39"/>
        <bgColor rgb="FFFF6600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3" borderId="1" xfId="1" applyFill="1" applyBorder="1" applyAlignment="1">
      <alignment horizontal="left" vertical="top" wrapText="1"/>
    </xf>
    <xf numFmtId="0" fontId="7" fillId="6" borderId="1" xfId="1" applyFill="1" applyBorder="1" applyAlignment="1">
      <alignment horizontal="left" vertical="top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E07B39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docs.ids.ac.uk/opendocs/handle/20.500.12413/77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mistryworld.com/careers/how-to-win-a-poster-competition/3008058.arti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zoomScale="59" zoomScaleNormal="100" workbookViewId="0">
      <pane ySplit="3" topLeftCell="A12" activePane="bottomLeft" state="frozen"/>
      <selection pane="bottomLeft" activeCell="H13" sqref="H13"/>
    </sheetView>
  </sheetViews>
  <sheetFormatPr baseColWidth="10" defaultColWidth="8.6328125" defaultRowHeight="14.5" x14ac:dyDescent="0.35"/>
  <cols>
    <col min="1" max="1" width="4" customWidth="1"/>
    <col min="2" max="2" width="22" customWidth="1"/>
    <col min="3" max="3" width="7" customWidth="1"/>
    <col min="4" max="4" width="48" customWidth="1"/>
    <col min="5" max="5" width="30" customWidth="1"/>
    <col min="6" max="6" width="14" customWidth="1"/>
    <col min="7" max="7" width="18" customWidth="1"/>
    <col min="8" max="9" width="28" customWidth="1"/>
    <col min="10" max="10" width="32" customWidth="1"/>
    <col min="11" max="11" width="52" customWidth="1"/>
    <col min="12" max="12" width="38" customWidth="1"/>
  </cols>
  <sheetData>
    <row r="1" spans="1:12" ht="31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9.5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36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ht="19.5" customHeight="1" x14ac:dyDescent="0.35">
      <c r="A4" s="3" t="s">
        <v>14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60" customHeight="1" x14ac:dyDescent="0.35">
      <c r="A5" s="7">
        <v>1</v>
      </c>
      <c r="B5" s="7" t="s">
        <v>15</v>
      </c>
      <c r="C5" s="7">
        <v>1981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</row>
    <row r="6" spans="1:12" ht="60" customHeight="1" x14ac:dyDescent="0.35">
      <c r="A6" s="8">
        <v>2</v>
      </c>
      <c r="B6" s="8" t="s">
        <v>25</v>
      </c>
      <c r="C6" s="8">
        <v>1992</v>
      </c>
      <c r="D6" s="8" t="s">
        <v>26</v>
      </c>
      <c r="E6" s="8" t="s">
        <v>27</v>
      </c>
      <c r="F6" s="8" t="s">
        <v>18</v>
      </c>
      <c r="G6" s="8" t="s">
        <v>28</v>
      </c>
      <c r="H6" s="8" t="s">
        <v>29</v>
      </c>
      <c r="I6" s="8" t="s">
        <v>30</v>
      </c>
      <c r="J6" s="8" t="s">
        <v>31</v>
      </c>
      <c r="K6" s="8" t="s">
        <v>32</v>
      </c>
      <c r="L6" s="10" t="s">
        <v>33</v>
      </c>
    </row>
    <row r="7" spans="1:12" ht="60" customHeight="1" x14ac:dyDescent="0.35">
      <c r="A7" s="7">
        <v>3</v>
      </c>
      <c r="B7" s="7" t="s">
        <v>34</v>
      </c>
      <c r="C7" s="7">
        <v>1992</v>
      </c>
      <c r="D7" s="7" t="s">
        <v>35</v>
      </c>
      <c r="E7" s="7" t="s">
        <v>36</v>
      </c>
      <c r="F7" s="7" t="s">
        <v>18</v>
      </c>
      <c r="G7" s="7" t="s">
        <v>37</v>
      </c>
      <c r="H7" s="7" t="s">
        <v>38</v>
      </c>
      <c r="I7" s="7" t="s">
        <v>39</v>
      </c>
      <c r="J7" s="7" t="s">
        <v>40</v>
      </c>
      <c r="K7" s="7" t="s">
        <v>41</v>
      </c>
      <c r="L7" s="7" t="s">
        <v>24</v>
      </c>
    </row>
    <row r="8" spans="1:12" ht="60" customHeight="1" x14ac:dyDescent="0.35">
      <c r="A8" s="8">
        <v>4</v>
      </c>
      <c r="B8" s="8" t="s">
        <v>42</v>
      </c>
      <c r="C8" s="8">
        <v>1997</v>
      </c>
      <c r="D8" s="8" t="s">
        <v>43</v>
      </c>
      <c r="E8" s="8" t="s">
        <v>44</v>
      </c>
      <c r="F8" s="8" t="s">
        <v>18</v>
      </c>
      <c r="G8" s="8" t="s">
        <v>45</v>
      </c>
      <c r="H8" s="8" t="s">
        <v>46</v>
      </c>
      <c r="I8" s="8" t="s">
        <v>47</v>
      </c>
      <c r="J8" s="8" t="s">
        <v>48</v>
      </c>
      <c r="K8" s="8" t="s">
        <v>49</v>
      </c>
      <c r="L8" s="8" t="s">
        <v>50</v>
      </c>
    </row>
    <row r="9" spans="1:12" ht="60" customHeight="1" x14ac:dyDescent="0.35">
      <c r="A9" s="7">
        <v>5</v>
      </c>
      <c r="B9" s="7" t="s">
        <v>51</v>
      </c>
      <c r="C9" s="7">
        <v>2022</v>
      </c>
      <c r="D9" s="7" t="s">
        <v>52</v>
      </c>
      <c r="E9" s="7" t="s">
        <v>53</v>
      </c>
      <c r="F9" s="7" t="s">
        <v>18</v>
      </c>
      <c r="G9" s="7" t="s">
        <v>37</v>
      </c>
      <c r="H9" s="7" t="s">
        <v>38</v>
      </c>
      <c r="I9" s="7" t="s">
        <v>54</v>
      </c>
      <c r="J9" s="7" t="s">
        <v>55</v>
      </c>
      <c r="K9" s="7" t="s">
        <v>56</v>
      </c>
      <c r="L9" s="7" t="s">
        <v>57</v>
      </c>
    </row>
    <row r="10" spans="1:12" ht="60" customHeight="1" x14ac:dyDescent="0.35">
      <c r="A10" s="8">
        <v>6</v>
      </c>
      <c r="B10" s="8" t="s">
        <v>58</v>
      </c>
      <c r="C10" s="8">
        <v>2018</v>
      </c>
      <c r="D10" s="8" t="s">
        <v>59</v>
      </c>
      <c r="E10" s="8" t="s">
        <v>60</v>
      </c>
      <c r="F10" s="8" t="s">
        <v>18</v>
      </c>
      <c r="G10" s="8" t="s">
        <v>61</v>
      </c>
      <c r="H10" s="8" t="s">
        <v>38</v>
      </c>
      <c r="I10" s="8" t="s">
        <v>62</v>
      </c>
      <c r="J10" s="8" t="s">
        <v>63</v>
      </c>
      <c r="K10" s="8" t="s">
        <v>64</v>
      </c>
      <c r="L10" s="8" t="s">
        <v>65</v>
      </c>
    </row>
    <row r="11" spans="1:12" ht="19.5" customHeight="1" x14ac:dyDescent="0.35">
      <c r="A11" s="3" t="s">
        <v>66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60" customHeight="1" x14ac:dyDescent="0.35">
      <c r="A12" s="7">
        <v>7</v>
      </c>
      <c r="B12" s="7" t="s">
        <v>67</v>
      </c>
      <c r="C12" s="7">
        <v>2024</v>
      </c>
      <c r="D12" s="7" t="s">
        <v>68</v>
      </c>
      <c r="E12" s="7" t="s">
        <v>69</v>
      </c>
      <c r="F12" s="7" t="s">
        <v>70</v>
      </c>
      <c r="G12" s="7" t="s">
        <v>37</v>
      </c>
      <c r="H12" s="7" t="s">
        <v>71</v>
      </c>
      <c r="I12" s="7" t="s">
        <v>72</v>
      </c>
      <c r="J12" s="7" t="s">
        <v>73</v>
      </c>
      <c r="K12" s="7" t="s">
        <v>74</v>
      </c>
      <c r="L12" s="7" t="s">
        <v>75</v>
      </c>
    </row>
    <row r="13" spans="1:12" ht="60" customHeight="1" x14ac:dyDescent="0.35">
      <c r="A13" s="8">
        <v>8</v>
      </c>
      <c r="B13" s="8" t="s">
        <v>76</v>
      </c>
      <c r="C13" s="8">
        <v>2021</v>
      </c>
      <c r="D13" s="8" t="s">
        <v>77</v>
      </c>
      <c r="E13" s="8" t="s">
        <v>78</v>
      </c>
      <c r="F13" s="8" t="s">
        <v>70</v>
      </c>
      <c r="G13" s="8" t="s">
        <v>61</v>
      </c>
      <c r="H13" s="8" t="s">
        <v>79</v>
      </c>
      <c r="I13" s="8" t="s">
        <v>80</v>
      </c>
      <c r="J13" s="8" t="s">
        <v>81</v>
      </c>
      <c r="K13" s="8" t="s">
        <v>82</v>
      </c>
      <c r="L13" s="8" t="s">
        <v>83</v>
      </c>
    </row>
    <row r="14" spans="1:12" ht="60" customHeight="1" x14ac:dyDescent="0.35">
      <c r="A14" s="7">
        <v>9</v>
      </c>
      <c r="B14" s="7" t="s">
        <v>84</v>
      </c>
      <c r="C14" s="7">
        <v>2024</v>
      </c>
      <c r="D14" s="7" t="s">
        <v>85</v>
      </c>
      <c r="E14" s="7" t="s">
        <v>86</v>
      </c>
      <c r="F14" s="7" t="s">
        <v>87</v>
      </c>
      <c r="G14" s="7" t="s">
        <v>61</v>
      </c>
      <c r="H14" s="7" t="s">
        <v>88</v>
      </c>
      <c r="I14" s="7" t="s">
        <v>89</v>
      </c>
      <c r="J14" s="7" t="s">
        <v>90</v>
      </c>
      <c r="K14" s="7" t="s">
        <v>91</v>
      </c>
      <c r="L14" s="7" t="s">
        <v>92</v>
      </c>
    </row>
    <row r="15" spans="1:12" ht="60" customHeight="1" x14ac:dyDescent="0.35">
      <c r="A15" s="8">
        <v>10</v>
      </c>
      <c r="B15" s="8" t="s">
        <v>93</v>
      </c>
      <c r="C15" s="8">
        <v>2021</v>
      </c>
      <c r="D15" s="8" t="s">
        <v>94</v>
      </c>
      <c r="E15" s="8" t="s">
        <v>95</v>
      </c>
      <c r="F15" s="8" t="s">
        <v>87</v>
      </c>
      <c r="G15" s="8" t="s">
        <v>61</v>
      </c>
      <c r="H15" s="8" t="s">
        <v>88</v>
      </c>
      <c r="I15" s="8" t="s">
        <v>96</v>
      </c>
      <c r="J15" s="8" t="s">
        <v>97</v>
      </c>
      <c r="K15" s="8" t="s">
        <v>98</v>
      </c>
      <c r="L15" s="8" t="s">
        <v>99</v>
      </c>
    </row>
    <row r="16" spans="1:12" ht="60" customHeight="1" x14ac:dyDescent="0.35">
      <c r="A16" s="7">
        <v>11</v>
      </c>
      <c r="B16" s="7" t="s">
        <v>100</v>
      </c>
      <c r="C16" s="7">
        <v>2024</v>
      </c>
      <c r="D16" s="7" t="s">
        <v>101</v>
      </c>
      <c r="E16" s="7" t="s">
        <v>102</v>
      </c>
      <c r="F16" s="7" t="s">
        <v>103</v>
      </c>
      <c r="G16" s="7" t="s">
        <v>61</v>
      </c>
      <c r="H16" s="7" t="s">
        <v>104</v>
      </c>
      <c r="I16" s="7" t="s">
        <v>105</v>
      </c>
      <c r="J16" s="7" t="s">
        <v>106</v>
      </c>
      <c r="K16" s="7" t="s">
        <v>107</v>
      </c>
      <c r="L16" s="7" t="s">
        <v>24</v>
      </c>
    </row>
    <row r="17" spans="1:12" ht="60" customHeight="1" x14ac:dyDescent="0.35">
      <c r="A17" s="8">
        <v>12</v>
      </c>
      <c r="B17" s="8" t="s">
        <v>108</v>
      </c>
      <c r="C17" s="8">
        <v>2024</v>
      </c>
      <c r="D17" s="8" t="s">
        <v>109</v>
      </c>
      <c r="E17" s="8" t="s">
        <v>110</v>
      </c>
      <c r="F17" s="8" t="s">
        <v>111</v>
      </c>
      <c r="G17" s="8" t="s">
        <v>61</v>
      </c>
      <c r="H17" s="8" t="s">
        <v>112</v>
      </c>
      <c r="I17" s="8" t="s">
        <v>113</v>
      </c>
      <c r="J17" s="8" t="s">
        <v>114</v>
      </c>
      <c r="K17" s="8" t="s">
        <v>115</v>
      </c>
      <c r="L17" s="8" t="s">
        <v>116</v>
      </c>
    </row>
    <row r="18" spans="1:12" ht="60" customHeight="1" x14ac:dyDescent="0.35">
      <c r="A18" s="7">
        <v>13</v>
      </c>
      <c r="B18" s="7" t="s">
        <v>117</v>
      </c>
      <c r="C18" s="7">
        <v>2025</v>
      </c>
      <c r="D18" s="7" t="s">
        <v>118</v>
      </c>
      <c r="E18" s="7" t="s">
        <v>119</v>
      </c>
      <c r="F18" s="7" t="s">
        <v>120</v>
      </c>
      <c r="G18" s="7" t="s">
        <v>61</v>
      </c>
      <c r="H18" s="7" t="s">
        <v>121</v>
      </c>
      <c r="I18" s="7" t="s">
        <v>122</v>
      </c>
      <c r="J18" s="7" t="s">
        <v>123</v>
      </c>
      <c r="K18" s="7" t="s">
        <v>124</v>
      </c>
      <c r="L18" s="7" t="s">
        <v>125</v>
      </c>
    </row>
    <row r="19" spans="1:12" ht="60" customHeight="1" x14ac:dyDescent="0.35">
      <c r="A19" s="8">
        <v>14</v>
      </c>
      <c r="B19" s="8" t="s">
        <v>126</v>
      </c>
      <c r="C19" s="8">
        <v>2024</v>
      </c>
      <c r="D19" s="8" t="s">
        <v>127</v>
      </c>
      <c r="E19" s="8" t="s">
        <v>128</v>
      </c>
      <c r="F19" s="8" t="s">
        <v>111</v>
      </c>
      <c r="G19" s="8" t="s">
        <v>61</v>
      </c>
      <c r="H19" s="8" t="s">
        <v>129</v>
      </c>
      <c r="I19" s="8" t="s">
        <v>130</v>
      </c>
      <c r="J19" s="8" t="s">
        <v>131</v>
      </c>
      <c r="K19" s="8" t="s">
        <v>132</v>
      </c>
      <c r="L19" s="8" t="s">
        <v>133</v>
      </c>
    </row>
    <row r="20" spans="1:12" ht="19.5" customHeight="1" x14ac:dyDescent="0.35">
      <c r="A20" s="3" t="s">
        <v>134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60" customHeight="1" x14ac:dyDescent="0.35">
      <c r="A21" s="7">
        <v>15</v>
      </c>
      <c r="B21" s="7" t="s">
        <v>135</v>
      </c>
      <c r="C21" s="7">
        <v>2002</v>
      </c>
      <c r="D21" s="7" t="s">
        <v>136</v>
      </c>
      <c r="E21" s="7" t="s">
        <v>137</v>
      </c>
      <c r="F21" s="7" t="s">
        <v>18</v>
      </c>
      <c r="G21" s="7" t="s">
        <v>45</v>
      </c>
      <c r="H21" s="7" t="s">
        <v>138</v>
      </c>
      <c r="I21" s="7" t="s">
        <v>139</v>
      </c>
      <c r="J21" s="7" t="s">
        <v>140</v>
      </c>
      <c r="K21" s="7" t="s">
        <v>141</v>
      </c>
      <c r="L21" s="7" t="s">
        <v>142</v>
      </c>
    </row>
    <row r="22" spans="1:12" ht="60" customHeight="1" x14ac:dyDescent="0.35">
      <c r="A22" s="8">
        <v>16</v>
      </c>
      <c r="B22" s="8" t="s">
        <v>143</v>
      </c>
      <c r="C22" s="8">
        <v>2018</v>
      </c>
      <c r="D22" s="8" t="s">
        <v>144</v>
      </c>
      <c r="E22" s="8" t="s">
        <v>145</v>
      </c>
      <c r="F22" s="8" t="s">
        <v>18</v>
      </c>
      <c r="G22" s="8" t="s">
        <v>45</v>
      </c>
      <c r="H22" s="8" t="s">
        <v>46</v>
      </c>
      <c r="I22" s="8" t="s">
        <v>146</v>
      </c>
      <c r="J22" s="8" t="s">
        <v>147</v>
      </c>
      <c r="K22" s="8" t="s">
        <v>148</v>
      </c>
      <c r="L22" s="8" t="s">
        <v>24</v>
      </c>
    </row>
    <row r="23" spans="1:12" ht="60" customHeight="1" x14ac:dyDescent="0.35">
      <c r="A23" s="7">
        <v>17</v>
      </c>
      <c r="B23" s="7" t="s">
        <v>149</v>
      </c>
      <c r="C23" s="7">
        <v>2006</v>
      </c>
      <c r="D23" s="7" t="s">
        <v>150</v>
      </c>
      <c r="E23" s="7" t="s">
        <v>151</v>
      </c>
      <c r="F23" s="7" t="s">
        <v>18</v>
      </c>
      <c r="G23" s="7" t="s">
        <v>61</v>
      </c>
      <c r="H23" s="7" t="s">
        <v>138</v>
      </c>
      <c r="I23" s="7" t="s">
        <v>152</v>
      </c>
      <c r="J23" s="7" t="s">
        <v>153</v>
      </c>
      <c r="K23" s="7" t="s">
        <v>154</v>
      </c>
      <c r="L23" s="7" t="s">
        <v>155</v>
      </c>
    </row>
    <row r="24" spans="1:12" ht="60" customHeight="1" x14ac:dyDescent="0.35">
      <c r="A24" s="8">
        <v>18</v>
      </c>
      <c r="B24" s="8" t="s">
        <v>156</v>
      </c>
      <c r="C24" s="8">
        <v>2011</v>
      </c>
      <c r="D24" s="8" t="s">
        <v>157</v>
      </c>
      <c r="E24" s="8" t="s">
        <v>158</v>
      </c>
      <c r="F24" s="8" t="s">
        <v>18</v>
      </c>
      <c r="G24" s="8" t="s">
        <v>61</v>
      </c>
      <c r="H24" s="8" t="s">
        <v>159</v>
      </c>
      <c r="I24" s="8" t="s">
        <v>160</v>
      </c>
      <c r="J24" s="8" t="s">
        <v>161</v>
      </c>
      <c r="K24" s="8" t="s">
        <v>162</v>
      </c>
      <c r="L24" s="8" t="s">
        <v>163</v>
      </c>
    </row>
    <row r="25" spans="1:12" ht="19.5" customHeight="1" x14ac:dyDescent="0.35">
      <c r="A25" s="3" t="s">
        <v>164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60" customHeight="1" x14ac:dyDescent="0.35">
      <c r="A26" s="7">
        <v>19</v>
      </c>
      <c r="B26" s="7" t="s">
        <v>165</v>
      </c>
      <c r="C26" s="7">
        <v>1973</v>
      </c>
      <c r="D26" s="7" t="s">
        <v>166</v>
      </c>
      <c r="E26" s="7" t="s">
        <v>167</v>
      </c>
      <c r="F26" s="7" t="s">
        <v>18</v>
      </c>
      <c r="G26" s="7" t="s">
        <v>61</v>
      </c>
      <c r="H26" s="7" t="s">
        <v>168</v>
      </c>
      <c r="I26" s="7" t="s">
        <v>169</v>
      </c>
      <c r="J26" s="7" t="s">
        <v>170</v>
      </c>
      <c r="K26" s="7" t="s">
        <v>171</v>
      </c>
      <c r="L26" s="7" t="s">
        <v>172</v>
      </c>
    </row>
    <row r="27" spans="1:12" ht="60" customHeight="1" x14ac:dyDescent="0.35">
      <c r="A27" s="8">
        <v>20</v>
      </c>
      <c r="B27" s="8" t="s">
        <v>173</v>
      </c>
      <c r="C27" s="8">
        <v>2024</v>
      </c>
      <c r="D27" s="8" t="s">
        <v>174</v>
      </c>
      <c r="E27" s="8" t="s">
        <v>175</v>
      </c>
      <c r="F27" s="8" t="s">
        <v>70</v>
      </c>
      <c r="G27" s="8" t="s">
        <v>37</v>
      </c>
      <c r="H27" s="8" t="s">
        <v>176</v>
      </c>
      <c r="I27" s="8" t="s">
        <v>177</v>
      </c>
      <c r="J27" s="8" t="s">
        <v>178</v>
      </c>
      <c r="K27" s="8" t="s">
        <v>179</v>
      </c>
      <c r="L27" s="8" t="s">
        <v>180</v>
      </c>
    </row>
    <row r="28" spans="1:12" ht="60" customHeight="1" x14ac:dyDescent="0.35">
      <c r="A28" s="7">
        <v>21</v>
      </c>
      <c r="B28" s="7" t="s">
        <v>181</v>
      </c>
      <c r="C28" s="7">
        <v>2024</v>
      </c>
      <c r="D28" s="7" t="s">
        <v>182</v>
      </c>
      <c r="E28" s="7" t="s">
        <v>183</v>
      </c>
      <c r="F28" s="7" t="s">
        <v>70</v>
      </c>
      <c r="G28" s="7" t="s">
        <v>37</v>
      </c>
      <c r="H28" s="7" t="s">
        <v>184</v>
      </c>
      <c r="I28" s="7" t="s">
        <v>185</v>
      </c>
      <c r="J28" s="7" t="s">
        <v>186</v>
      </c>
      <c r="K28" s="7" t="s">
        <v>187</v>
      </c>
      <c r="L28" s="7" t="s">
        <v>188</v>
      </c>
    </row>
    <row r="29" spans="1:12" ht="60" customHeight="1" x14ac:dyDescent="0.35">
      <c r="A29" s="8">
        <v>22</v>
      </c>
      <c r="B29" s="8" t="s">
        <v>189</v>
      </c>
      <c r="C29" s="8">
        <v>2019</v>
      </c>
      <c r="D29" s="8" t="s">
        <v>190</v>
      </c>
      <c r="E29" s="8" t="s">
        <v>191</v>
      </c>
      <c r="F29" s="8" t="s">
        <v>70</v>
      </c>
      <c r="G29" s="8" t="s">
        <v>37</v>
      </c>
      <c r="H29" s="8" t="s">
        <v>71</v>
      </c>
      <c r="I29" s="8" t="s">
        <v>192</v>
      </c>
      <c r="J29" s="8" t="s">
        <v>193</v>
      </c>
      <c r="K29" s="8" t="s">
        <v>194</v>
      </c>
      <c r="L29" s="8" t="s">
        <v>195</v>
      </c>
    </row>
    <row r="30" spans="1:12" ht="60" customHeight="1" x14ac:dyDescent="0.35">
      <c r="A30" s="7">
        <v>23</v>
      </c>
      <c r="B30" s="7" t="s">
        <v>196</v>
      </c>
      <c r="C30" s="7">
        <v>2001</v>
      </c>
      <c r="D30" s="7" t="s">
        <v>197</v>
      </c>
      <c r="E30" s="7" t="s">
        <v>198</v>
      </c>
      <c r="F30" s="7" t="s">
        <v>18</v>
      </c>
      <c r="G30" s="7" t="s">
        <v>61</v>
      </c>
      <c r="H30" s="7" t="s">
        <v>199</v>
      </c>
      <c r="I30" s="7" t="s">
        <v>200</v>
      </c>
      <c r="J30" s="7" t="s">
        <v>201</v>
      </c>
      <c r="K30" s="7" t="s">
        <v>202</v>
      </c>
      <c r="L30" s="7" t="s">
        <v>203</v>
      </c>
    </row>
    <row r="31" spans="1:12" ht="60" customHeight="1" x14ac:dyDescent="0.35">
      <c r="A31" s="8">
        <v>24</v>
      </c>
      <c r="B31" s="8" t="s">
        <v>204</v>
      </c>
      <c r="C31" s="8">
        <v>2000</v>
      </c>
      <c r="D31" s="8" t="s">
        <v>205</v>
      </c>
      <c r="E31" s="8" t="s">
        <v>206</v>
      </c>
      <c r="F31" s="8" t="s">
        <v>18</v>
      </c>
      <c r="G31" s="8" t="s">
        <v>19</v>
      </c>
      <c r="H31" s="8" t="s">
        <v>207</v>
      </c>
      <c r="I31" s="8" t="s">
        <v>208</v>
      </c>
      <c r="J31" s="8" t="s">
        <v>209</v>
      </c>
      <c r="K31" s="8" t="s">
        <v>210</v>
      </c>
      <c r="L31" s="8" t="s">
        <v>24</v>
      </c>
    </row>
  </sheetData>
  <mergeCells count="6">
    <mergeCell ref="A25:L25"/>
    <mergeCell ref="A1:L1"/>
    <mergeCell ref="A2:L2"/>
    <mergeCell ref="A4:L4"/>
    <mergeCell ref="A11:L11"/>
    <mergeCell ref="A20:L20"/>
  </mergeCells>
  <hyperlinks>
    <hyperlink ref="L6" r:id="rId1" xr:uid="{44CA7D09-DB17-47A0-8094-AE70A8144D35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"/>
  <sheetViews>
    <sheetView showGridLines="0" zoomScaleNormal="100" workbookViewId="0">
      <pane ySplit="4" topLeftCell="A13" activePane="bottomLeft" state="frozen"/>
      <selection pane="bottomLeft" activeCell="E18" sqref="E18"/>
    </sheetView>
  </sheetViews>
  <sheetFormatPr baseColWidth="10" defaultColWidth="8.6328125" defaultRowHeight="14.5" x14ac:dyDescent="0.35"/>
  <cols>
    <col min="1" max="1" width="4" customWidth="1"/>
    <col min="2" max="2" width="30" customWidth="1"/>
    <col min="3" max="3" width="22" customWidth="1"/>
    <col min="4" max="4" width="18" customWidth="1"/>
    <col min="5" max="5" width="16" customWidth="1"/>
    <col min="6" max="6" width="40" customWidth="1"/>
    <col min="7" max="7" width="22" customWidth="1"/>
    <col min="8" max="8" width="40" customWidth="1"/>
    <col min="9" max="9" width="38" customWidth="1"/>
    <col min="10" max="10" width="34" customWidth="1"/>
    <col min="11" max="11" width="16" customWidth="1"/>
  </cols>
  <sheetData>
    <row r="1" spans="1:14" ht="31.5" customHeight="1" x14ac:dyDescent="0.35">
      <c r="A1" s="5" t="s">
        <v>211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8" customHeight="1" x14ac:dyDescent="0.35">
      <c r="A2" s="4" t="s">
        <v>212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24" customHeight="1" x14ac:dyDescent="0.35">
      <c r="A3" s="2" t="s">
        <v>213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6" customHeight="1" x14ac:dyDescent="0.35">
      <c r="A4" s="6" t="s">
        <v>2</v>
      </c>
      <c r="B4" s="6" t="s">
        <v>214</v>
      </c>
      <c r="C4" s="6" t="s">
        <v>215</v>
      </c>
      <c r="D4" s="6" t="s">
        <v>216</v>
      </c>
      <c r="E4" s="6" t="s">
        <v>217</v>
      </c>
      <c r="F4" s="1" t="s">
        <v>218</v>
      </c>
      <c r="G4" s="1"/>
      <c r="H4" s="1"/>
      <c r="I4" s="1"/>
      <c r="J4" s="1"/>
      <c r="K4" s="1"/>
      <c r="L4" s="1"/>
      <c r="M4" s="1"/>
      <c r="N4" s="1"/>
    </row>
    <row r="5" spans="1:14" ht="72" customHeight="1" x14ac:dyDescent="0.35">
      <c r="A5" s="7">
        <v>1</v>
      </c>
      <c r="B5" s="7" t="s">
        <v>219</v>
      </c>
      <c r="C5" s="7" t="s">
        <v>220</v>
      </c>
      <c r="D5" s="7" t="s">
        <v>221</v>
      </c>
      <c r="E5" s="7" t="s">
        <v>222</v>
      </c>
      <c r="F5" s="7" t="s">
        <v>223</v>
      </c>
      <c r="G5" s="7" t="s">
        <v>224</v>
      </c>
      <c r="H5" s="7" t="s">
        <v>225</v>
      </c>
      <c r="I5" s="7" t="s">
        <v>226</v>
      </c>
      <c r="J5" s="11" t="s">
        <v>227</v>
      </c>
      <c r="K5" s="7" t="s">
        <v>228</v>
      </c>
    </row>
    <row r="6" spans="1:14" ht="72" customHeight="1" x14ac:dyDescent="0.35">
      <c r="A6" s="8">
        <v>2</v>
      </c>
      <c r="B6" s="8" t="s">
        <v>229</v>
      </c>
      <c r="C6" s="8" t="s">
        <v>230</v>
      </c>
      <c r="D6" s="8" t="s">
        <v>231</v>
      </c>
      <c r="E6" s="8" t="s">
        <v>232</v>
      </c>
      <c r="F6" s="8" t="s">
        <v>233</v>
      </c>
      <c r="G6" s="8" t="s">
        <v>234</v>
      </c>
      <c r="H6" s="8" t="s">
        <v>235</v>
      </c>
      <c r="I6" s="8" t="s">
        <v>236</v>
      </c>
      <c r="J6" s="8" t="s">
        <v>237</v>
      </c>
      <c r="K6" s="8" t="s">
        <v>238</v>
      </c>
    </row>
    <row r="7" spans="1:14" ht="72" customHeight="1" x14ac:dyDescent="0.35">
      <c r="A7" s="7">
        <v>3</v>
      </c>
      <c r="B7" s="7" t="s">
        <v>239</v>
      </c>
      <c r="C7" s="7" t="s">
        <v>240</v>
      </c>
      <c r="D7" s="7" t="s">
        <v>241</v>
      </c>
      <c r="E7" s="7" t="s">
        <v>222</v>
      </c>
      <c r="F7" s="7" t="s">
        <v>242</v>
      </c>
      <c r="G7" s="7" t="s">
        <v>243</v>
      </c>
      <c r="H7" s="7" t="s">
        <v>244</v>
      </c>
      <c r="I7" s="7" t="s">
        <v>245</v>
      </c>
      <c r="J7" s="7" t="s">
        <v>246</v>
      </c>
      <c r="K7" s="7" t="s">
        <v>247</v>
      </c>
    </row>
    <row r="8" spans="1:14" ht="72" customHeight="1" x14ac:dyDescent="0.35">
      <c r="A8" s="8">
        <v>4</v>
      </c>
      <c r="B8" s="8" t="s">
        <v>248</v>
      </c>
      <c r="C8" s="8" t="s">
        <v>249</v>
      </c>
      <c r="D8" s="8" t="s">
        <v>250</v>
      </c>
      <c r="E8" s="8" t="s">
        <v>251</v>
      </c>
      <c r="F8" s="8" t="s">
        <v>252</v>
      </c>
      <c r="G8" s="8" t="s">
        <v>253</v>
      </c>
      <c r="H8" s="8" t="s">
        <v>254</v>
      </c>
      <c r="I8" s="8" t="s">
        <v>255</v>
      </c>
      <c r="J8" s="8" t="s">
        <v>256</v>
      </c>
      <c r="K8" s="8" t="s">
        <v>257</v>
      </c>
    </row>
    <row r="9" spans="1:14" ht="72" customHeight="1" x14ac:dyDescent="0.35">
      <c r="A9" s="7">
        <v>5</v>
      </c>
      <c r="B9" s="7" t="s">
        <v>258</v>
      </c>
      <c r="C9" s="7" t="s">
        <v>259</v>
      </c>
      <c r="D9" s="7" t="s">
        <v>250</v>
      </c>
      <c r="E9" s="7" t="s">
        <v>251</v>
      </c>
      <c r="F9" s="7" t="s">
        <v>260</v>
      </c>
      <c r="G9" s="7" t="s">
        <v>261</v>
      </c>
      <c r="H9" s="7" t="s">
        <v>262</v>
      </c>
      <c r="I9" s="7" t="s">
        <v>263</v>
      </c>
      <c r="J9" s="7" t="s">
        <v>264</v>
      </c>
      <c r="K9" s="7" t="s">
        <v>265</v>
      </c>
    </row>
    <row r="10" spans="1:14" ht="72" customHeight="1" x14ac:dyDescent="0.35">
      <c r="A10" s="8">
        <v>6</v>
      </c>
      <c r="B10" s="8" t="s">
        <v>266</v>
      </c>
      <c r="C10" s="8" t="s">
        <v>267</v>
      </c>
      <c r="D10" s="8" t="s">
        <v>268</v>
      </c>
      <c r="E10" s="8" t="s">
        <v>269</v>
      </c>
      <c r="F10" s="8" t="s">
        <v>270</v>
      </c>
      <c r="G10" s="8" t="s">
        <v>271</v>
      </c>
      <c r="H10" s="8" t="s">
        <v>272</v>
      </c>
      <c r="I10" s="8" t="s">
        <v>273</v>
      </c>
      <c r="J10" s="8" t="s">
        <v>274</v>
      </c>
      <c r="K10" s="8" t="s">
        <v>275</v>
      </c>
    </row>
    <row r="11" spans="1:14" ht="72" customHeight="1" x14ac:dyDescent="0.35">
      <c r="A11" s="7">
        <v>7</v>
      </c>
      <c r="B11" s="7" t="s">
        <v>276</v>
      </c>
      <c r="C11" s="7" t="s">
        <v>277</v>
      </c>
      <c r="D11" s="7" t="s">
        <v>278</v>
      </c>
      <c r="E11" s="7" t="s">
        <v>279</v>
      </c>
      <c r="F11" s="7" t="s">
        <v>280</v>
      </c>
      <c r="G11" s="7" t="s">
        <v>281</v>
      </c>
      <c r="H11" s="7" t="s">
        <v>282</v>
      </c>
      <c r="I11" s="7" t="s">
        <v>283</v>
      </c>
      <c r="J11" s="7" t="s">
        <v>284</v>
      </c>
      <c r="K11" s="7" t="s">
        <v>285</v>
      </c>
    </row>
    <row r="12" spans="1:14" ht="72" customHeight="1" x14ac:dyDescent="0.35">
      <c r="A12" s="8">
        <v>8</v>
      </c>
      <c r="B12" s="8" t="s">
        <v>286</v>
      </c>
      <c r="C12" s="8" t="s">
        <v>287</v>
      </c>
      <c r="D12" s="8" t="s">
        <v>288</v>
      </c>
      <c r="E12" s="8" t="s">
        <v>222</v>
      </c>
      <c r="F12" s="8" t="s">
        <v>289</v>
      </c>
      <c r="G12" s="8" t="s">
        <v>290</v>
      </c>
      <c r="H12" s="8" t="s">
        <v>291</v>
      </c>
      <c r="I12" s="8" t="s">
        <v>292</v>
      </c>
      <c r="J12" s="8" t="s">
        <v>293</v>
      </c>
      <c r="K12" s="8" t="s">
        <v>294</v>
      </c>
    </row>
    <row r="14" spans="1:14" ht="24" customHeight="1" x14ac:dyDescent="0.35">
      <c r="A14" s="2" t="s">
        <v>295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30" customHeight="1" x14ac:dyDescent="0.35">
      <c r="A15" s="6" t="s">
        <v>2</v>
      </c>
      <c r="B15" s="6" t="s">
        <v>296</v>
      </c>
      <c r="C15" s="6" t="s">
        <v>297</v>
      </c>
      <c r="D15" s="6" t="s">
        <v>298</v>
      </c>
      <c r="E15" s="6" t="s">
        <v>299</v>
      </c>
      <c r="F15" s="6" t="s">
        <v>300</v>
      </c>
      <c r="G15" s="6" t="s">
        <v>301</v>
      </c>
    </row>
    <row r="16" spans="1:14" ht="79.5" customHeight="1" x14ac:dyDescent="0.35">
      <c r="A16" s="7">
        <v>1</v>
      </c>
      <c r="B16" s="7" t="s">
        <v>302</v>
      </c>
      <c r="C16" s="7" t="s">
        <v>303</v>
      </c>
      <c r="D16" s="7" t="s">
        <v>304</v>
      </c>
      <c r="E16" s="7" t="s">
        <v>305</v>
      </c>
      <c r="F16" s="7" t="s">
        <v>306</v>
      </c>
      <c r="G16" s="7" t="s">
        <v>307</v>
      </c>
    </row>
    <row r="17" spans="1:14" ht="79.5" customHeight="1" x14ac:dyDescent="0.35">
      <c r="A17" s="8">
        <v>2</v>
      </c>
      <c r="B17" s="8" t="s">
        <v>308</v>
      </c>
      <c r="C17" s="8" t="s">
        <v>309</v>
      </c>
      <c r="D17" s="8" t="s">
        <v>310</v>
      </c>
      <c r="E17" s="8" t="s">
        <v>311</v>
      </c>
      <c r="F17" s="8" t="s">
        <v>312</v>
      </c>
      <c r="G17" s="8" t="s">
        <v>313</v>
      </c>
    </row>
    <row r="18" spans="1:14" ht="79.5" customHeight="1" x14ac:dyDescent="0.35">
      <c r="A18" s="7">
        <v>3</v>
      </c>
      <c r="B18" s="7" t="s">
        <v>314</v>
      </c>
      <c r="C18" s="7" t="s">
        <v>315</v>
      </c>
      <c r="D18" s="7" t="s">
        <v>316</v>
      </c>
      <c r="E18" s="7" t="s">
        <v>317</v>
      </c>
      <c r="F18" s="7" t="s">
        <v>318</v>
      </c>
      <c r="G18" s="7" t="s">
        <v>319</v>
      </c>
    </row>
    <row r="19" spans="1:14" ht="79.5" customHeight="1" x14ac:dyDescent="0.35">
      <c r="A19" s="8">
        <v>4</v>
      </c>
      <c r="B19" s="8" t="s">
        <v>320</v>
      </c>
      <c r="C19" s="8" t="s">
        <v>321</v>
      </c>
      <c r="D19" s="8" t="s">
        <v>322</v>
      </c>
      <c r="E19" s="8" t="s">
        <v>323</v>
      </c>
      <c r="F19" s="8" t="s">
        <v>324</v>
      </c>
      <c r="G19" s="8" t="s">
        <v>325</v>
      </c>
    </row>
    <row r="20" spans="1:14" ht="79.5" customHeight="1" x14ac:dyDescent="0.35">
      <c r="A20" s="7">
        <v>5</v>
      </c>
      <c r="B20" s="7" t="s">
        <v>326</v>
      </c>
      <c r="C20" s="7" t="s">
        <v>327</v>
      </c>
      <c r="D20" s="7" t="s">
        <v>328</v>
      </c>
      <c r="E20" s="7" t="s">
        <v>329</v>
      </c>
      <c r="F20" s="7" t="s">
        <v>330</v>
      </c>
      <c r="G20" s="7" t="s">
        <v>331</v>
      </c>
    </row>
    <row r="21" spans="1:14" ht="79.5" customHeight="1" x14ac:dyDescent="0.35">
      <c r="A21" s="8">
        <v>6</v>
      </c>
      <c r="B21" s="8" t="s">
        <v>332</v>
      </c>
      <c r="C21" s="8" t="s">
        <v>333</v>
      </c>
      <c r="D21" s="8" t="s">
        <v>334</v>
      </c>
      <c r="E21" s="8" t="s">
        <v>335</v>
      </c>
      <c r="F21" s="8" t="s">
        <v>336</v>
      </c>
      <c r="G21" s="8" t="s">
        <v>325</v>
      </c>
    </row>
    <row r="22" spans="1:14" ht="79.5" customHeight="1" x14ac:dyDescent="0.35">
      <c r="A22" s="7">
        <v>7</v>
      </c>
      <c r="B22" s="7" t="s">
        <v>337</v>
      </c>
      <c r="C22" s="7" t="s">
        <v>338</v>
      </c>
      <c r="D22" s="7" t="s">
        <v>339</v>
      </c>
      <c r="E22" s="7" t="s">
        <v>340</v>
      </c>
      <c r="F22" s="7" t="s">
        <v>341</v>
      </c>
      <c r="G22" s="7" t="s">
        <v>342</v>
      </c>
    </row>
    <row r="23" spans="1:14" ht="79.5" customHeight="1" x14ac:dyDescent="0.35">
      <c r="A23" s="8">
        <v>8</v>
      </c>
      <c r="B23" s="8" t="s">
        <v>343</v>
      </c>
      <c r="C23" s="8" t="s">
        <v>344</v>
      </c>
      <c r="D23" s="8" t="s">
        <v>345</v>
      </c>
      <c r="E23" s="8" t="s">
        <v>346</v>
      </c>
      <c r="F23" s="8" t="s">
        <v>347</v>
      </c>
      <c r="G23" s="8" t="s">
        <v>348</v>
      </c>
    </row>
    <row r="24" spans="1:14" ht="79.5" customHeight="1" x14ac:dyDescent="0.35">
      <c r="A24" s="7">
        <v>9</v>
      </c>
      <c r="B24" s="7" t="s">
        <v>349</v>
      </c>
      <c r="C24" s="7" t="s">
        <v>350</v>
      </c>
      <c r="D24" s="7" t="s">
        <v>351</v>
      </c>
      <c r="E24" s="7" t="s">
        <v>352</v>
      </c>
      <c r="F24" s="7" t="s">
        <v>353</v>
      </c>
      <c r="G24" s="7" t="s">
        <v>354</v>
      </c>
    </row>
    <row r="25" spans="1:14" ht="79.5" customHeight="1" x14ac:dyDescent="0.35">
      <c r="A25" s="8">
        <v>10</v>
      </c>
      <c r="B25" s="8" t="s">
        <v>355</v>
      </c>
      <c r="C25" s="8" t="s">
        <v>356</v>
      </c>
      <c r="D25" s="8" t="s">
        <v>357</v>
      </c>
      <c r="E25" s="8" t="s">
        <v>358</v>
      </c>
      <c r="F25" s="8" t="s">
        <v>359</v>
      </c>
      <c r="G25" s="8" t="s">
        <v>360</v>
      </c>
    </row>
    <row r="27" spans="1:14" ht="24" customHeight="1" x14ac:dyDescent="0.35">
      <c r="A27" s="2" t="s">
        <v>361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7.75" customHeight="1" x14ac:dyDescent="0.35">
      <c r="A28" s="6" t="s">
        <v>362</v>
      </c>
      <c r="B28" s="6" t="s">
        <v>363</v>
      </c>
      <c r="C28" s="6" t="s">
        <v>364</v>
      </c>
      <c r="D28" s="6" t="s">
        <v>365</v>
      </c>
      <c r="E28" s="6" t="s">
        <v>366</v>
      </c>
    </row>
    <row r="29" spans="1:14" ht="36" customHeight="1" x14ac:dyDescent="0.35">
      <c r="A29" s="8" t="s">
        <v>367</v>
      </c>
      <c r="B29" s="8" t="s">
        <v>368</v>
      </c>
      <c r="C29" s="8">
        <v>8</v>
      </c>
      <c r="D29" s="8"/>
      <c r="E29" s="8" t="s">
        <v>369</v>
      </c>
    </row>
    <row r="30" spans="1:14" ht="36" customHeight="1" x14ac:dyDescent="0.35">
      <c r="A30" s="7" t="s">
        <v>367</v>
      </c>
      <c r="B30" s="7" t="s">
        <v>370</v>
      </c>
      <c r="C30" s="7">
        <v>8</v>
      </c>
      <c r="D30" s="7"/>
      <c r="E30" s="7" t="s">
        <v>371</v>
      </c>
    </row>
    <row r="31" spans="1:14" ht="36" customHeight="1" x14ac:dyDescent="0.35">
      <c r="A31" s="8" t="s">
        <v>367</v>
      </c>
      <c r="B31" s="8" t="s">
        <v>372</v>
      </c>
      <c r="C31" s="8">
        <v>12</v>
      </c>
      <c r="D31" s="8"/>
      <c r="E31" s="8" t="s">
        <v>373</v>
      </c>
    </row>
    <row r="32" spans="1:14" ht="36" customHeight="1" x14ac:dyDescent="0.35">
      <c r="A32" s="7" t="s">
        <v>367</v>
      </c>
      <c r="B32" s="7" t="s">
        <v>374</v>
      </c>
      <c r="C32" s="7">
        <v>12</v>
      </c>
      <c r="D32" s="7"/>
      <c r="E32" s="7" t="s">
        <v>375</v>
      </c>
    </row>
    <row r="33" spans="1:5" ht="36" customHeight="1" x14ac:dyDescent="0.35">
      <c r="A33" s="8" t="s">
        <v>376</v>
      </c>
      <c r="B33" s="8" t="s">
        <v>377</v>
      </c>
      <c r="C33" s="8">
        <v>10</v>
      </c>
      <c r="D33" s="8"/>
      <c r="E33" s="8" t="s">
        <v>378</v>
      </c>
    </row>
    <row r="34" spans="1:5" ht="36" customHeight="1" x14ac:dyDescent="0.35">
      <c r="A34" s="7" t="s">
        <v>376</v>
      </c>
      <c r="B34" s="7" t="s">
        <v>379</v>
      </c>
      <c r="C34" s="7">
        <v>8</v>
      </c>
      <c r="D34" s="7"/>
      <c r="E34" s="7" t="s">
        <v>380</v>
      </c>
    </row>
    <row r="35" spans="1:5" ht="36" customHeight="1" x14ac:dyDescent="0.35">
      <c r="A35" s="8" t="s">
        <v>376</v>
      </c>
      <c r="B35" s="8" t="s">
        <v>381</v>
      </c>
      <c r="C35" s="8">
        <v>10</v>
      </c>
      <c r="D35" s="8"/>
      <c r="E35" s="8" t="s">
        <v>382</v>
      </c>
    </row>
    <row r="36" spans="1:5" ht="36" customHeight="1" x14ac:dyDescent="0.35">
      <c r="A36" s="7" t="s">
        <v>376</v>
      </c>
      <c r="B36" s="7" t="s">
        <v>383</v>
      </c>
      <c r="C36" s="7">
        <v>7</v>
      </c>
      <c r="D36" s="7"/>
      <c r="E36" s="7" t="s">
        <v>384</v>
      </c>
    </row>
    <row r="37" spans="1:5" ht="36" customHeight="1" x14ac:dyDescent="0.35">
      <c r="A37" s="8" t="s">
        <v>385</v>
      </c>
      <c r="B37" s="8" t="s">
        <v>386</v>
      </c>
      <c r="C37" s="8">
        <v>5</v>
      </c>
      <c r="D37" s="8"/>
      <c r="E37" s="8" t="s">
        <v>387</v>
      </c>
    </row>
    <row r="38" spans="1:5" ht="36" customHeight="1" x14ac:dyDescent="0.35">
      <c r="A38" s="7" t="s">
        <v>385</v>
      </c>
      <c r="B38" s="7" t="s">
        <v>388</v>
      </c>
      <c r="C38" s="7">
        <v>5</v>
      </c>
      <c r="D38" s="7"/>
      <c r="E38" s="7" t="s">
        <v>389</v>
      </c>
    </row>
    <row r="39" spans="1:5" ht="36" customHeight="1" x14ac:dyDescent="0.35">
      <c r="A39" s="8" t="s">
        <v>385</v>
      </c>
      <c r="B39" s="8" t="s">
        <v>390</v>
      </c>
      <c r="C39" s="8">
        <v>5</v>
      </c>
      <c r="D39" s="8"/>
      <c r="E39" s="8" t="s">
        <v>391</v>
      </c>
    </row>
    <row r="40" spans="1:5" ht="36" customHeight="1" x14ac:dyDescent="0.35">
      <c r="A40" s="7" t="s">
        <v>392</v>
      </c>
      <c r="B40" s="7" t="s">
        <v>393</v>
      </c>
      <c r="C40" s="7">
        <v>5</v>
      </c>
      <c r="D40" s="7"/>
      <c r="E40" s="7" t="s">
        <v>394</v>
      </c>
    </row>
    <row r="41" spans="1:5" ht="36" customHeight="1" x14ac:dyDescent="0.35">
      <c r="A41" s="8" t="s">
        <v>392</v>
      </c>
      <c r="B41" s="8" t="s">
        <v>395</v>
      </c>
      <c r="C41" s="8">
        <v>5</v>
      </c>
      <c r="D41" s="8"/>
      <c r="E41" s="8" t="s">
        <v>396</v>
      </c>
    </row>
    <row r="42" spans="1:5" ht="36" customHeight="1" x14ac:dyDescent="0.35">
      <c r="A42" s="9" t="s">
        <v>397</v>
      </c>
      <c r="B42" s="9"/>
      <c r="C42" s="9">
        <f>SUM(C29:C41)</f>
        <v>100</v>
      </c>
      <c r="D42" s="9">
        <f>SUM(D29:D41)</f>
        <v>0</v>
      </c>
      <c r="E42" s="9" t="s">
        <v>398</v>
      </c>
    </row>
  </sheetData>
  <mergeCells count="6">
    <mergeCell ref="A27:N27"/>
    <mergeCell ref="A1:N1"/>
    <mergeCell ref="A2:N2"/>
    <mergeCell ref="A3:N3"/>
    <mergeCell ref="F4:N4"/>
    <mergeCell ref="A14:N14"/>
  </mergeCells>
  <hyperlinks>
    <hyperlink ref="J5" r:id="rId1" xr:uid="{ECB53702-0571-4CE3-8D16-E7AC8F978AF8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Revue documentaire</vt:lpstr>
      <vt:lpstr>Benchmark posters scientifiques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Awa DIAW</cp:lastModifiedBy>
  <cp:revision>0</cp:revision>
  <dcterms:created xsi:type="dcterms:W3CDTF">2026-06-05T08:47:57Z</dcterms:created>
  <dcterms:modified xsi:type="dcterms:W3CDTF">2026-06-05T08:59:01Z</dcterms:modified>
  <dc:language>en-US</dc:language>
</cp:coreProperties>
</file>